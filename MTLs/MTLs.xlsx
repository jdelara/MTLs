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rticles\2026\TrafoLangs.SoSyM.2026\papers\TrafoLangs.SoSyM.2025\temp\"/>
    </mc:Choice>
  </mc:AlternateContent>
  <xr:revisionPtr revIDLastSave="0" documentId="13_ncr:1_{7CFB44F0-D37D-4B64-B943-F151DE50D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Graphs" sheetId="2" r:id="rId2"/>
  </sheets>
  <definedNames>
    <definedName name="_xlnm._FilterDatabase" localSheetId="0" hidden="1">Data!$A$1:$AC$28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B2" i="2"/>
  <c r="A5" i="2" l="1"/>
  <c r="B4" i="2"/>
  <c r="B3" i="2"/>
  <c r="A6" i="2" l="1"/>
  <c r="B5" i="2"/>
  <c r="B6" i="2" l="1"/>
  <c r="A7" i="2"/>
  <c r="A8" i="2" l="1"/>
  <c r="B7" i="2"/>
  <c r="B8" i="2" l="1"/>
  <c r="A9" i="2"/>
  <c r="A10" i="2" l="1"/>
  <c r="B9" i="2"/>
  <c r="B10" i="2" l="1"/>
  <c r="A11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B17" i="2" l="1"/>
  <c r="A18" i="2"/>
  <c r="A19" i="2" l="1"/>
  <c r="B18" i="2"/>
  <c r="B19" i="2" l="1"/>
  <c r="A20" i="2"/>
  <c r="B20" i="2" l="1"/>
  <c r="A21" i="2"/>
  <c r="B21" i="2" l="1"/>
  <c r="A22" i="2"/>
  <c r="B22" i="2" l="1"/>
  <c r="A23" i="2"/>
  <c r="A24" i="2" l="1"/>
  <c r="B23" i="2"/>
  <c r="A25" i="2" l="1"/>
  <c r="B24" i="2"/>
  <c r="B25" i="2" l="1"/>
  <c r="A26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4" i="2" s="1"/>
  <c r="B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000-000001000000}">
      <text>
        <r>
          <rPr>
            <sz val="10"/>
            <color rgb="FF000000"/>
            <rFont val="Arial"/>
            <scheme val="minor"/>
          </rPr>
          <t>Information from the website
	-Jesús Sánchez</t>
        </r>
      </text>
    </comment>
  </commentList>
</comments>
</file>

<file path=xl/sharedStrings.xml><?xml version="1.0" encoding="utf-8"?>
<sst xmlns="http://schemas.openxmlformats.org/spreadsheetml/2006/main" count="291" uniqueCount="181">
  <si>
    <t>Name</t>
  </si>
  <si>
    <t>Description</t>
  </si>
  <si>
    <t>Features</t>
  </si>
  <si>
    <t>Year</t>
  </si>
  <si>
    <t>Webpage</t>
  </si>
  <si>
    <t>Last update</t>
  </si>
  <si>
    <t>Active</t>
  </si>
  <si>
    <t>Repository</t>
  </si>
  <si>
    <t>Goal</t>
  </si>
  <si>
    <t>License</t>
  </si>
  <si>
    <t>Technology</t>
  </si>
  <si>
    <t>Meta-modeling framework</t>
  </si>
  <si>
    <t>Number of collaborators</t>
  </si>
  <si>
    <t>AGG</t>
  </si>
  <si>
    <t>Graph transformation tool</t>
  </si>
  <si>
    <t>Endogenous, In-place transformation, analysis</t>
  </si>
  <si>
    <t>https://www.user.tu-berlin.de/o.runge/AGG/WWW/agg.html</t>
  </si>
  <si>
    <t>No</t>
  </si>
  <si>
    <t>-</t>
  </si>
  <si>
    <t>Research</t>
  </si>
  <si>
    <t>AToM3</t>
  </si>
  <si>
    <t>Meta-modelling and graph transformation tool</t>
  </si>
  <si>
    <t>Endogenous, In-place transformation</t>
  </si>
  <si>
    <t>Not Available</t>
  </si>
  <si>
    <t>--</t>
  </si>
  <si>
    <t>Python</t>
  </si>
  <si>
    <t>GROOVE</t>
  </si>
  <si>
    <t>State space exploration, model checking</t>
  </si>
  <si>
    <t>Yes</t>
  </si>
  <si>
    <t>https://github.com/nl-utwente-groove</t>
  </si>
  <si>
    <t>Apache</t>
  </si>
  <si>
    <t>Java</t>
  </si>
  <si>
    <t>VIATRA/VIATRA2</t>
  </si>
  <si>
    <t>VIATRA - visual automated transformations for formal verification and validation of UML models.</t>
  </si>
  <si>
    <t>https://projects.eclipse.org/projects/modeling.viatra</t>
  </si>
  <si>
    <t>https://github.com/eclipse-viatra</t>
  </si>
  <si>
    <t>Industry</t>
  </si>
  <si>
    <t>EPL</t>
  </si>
  <si>
    <t>GrGen.NET</t>
  </si>
  <si>
    <t>https://grgen.de/</t>
  </si>
  <si>
    <t>https://github.com/ejaku/grgen</t>
  </si>
  <si>
    <t>LGPL</t>
  </si>
  <si>
    <t>.NET</t>
  </si>
  <si>
    <t>MOLA</t>
  </si>
  <si>
    <t>Graphical model transformation language</t>
  </si>
  <si>
    <t>https://mola.mii.lu.lv/</t>
  </si>
  <si>
    <t>Freeware</t>
  </si>
  <si>
    <t>Kermeta</t>
  </si>
  <si>
    <t>Behavioural meta-modelling language</t>
  </si>
  <si>
    <t>Imperative language, in-place transformations, model management, executable meta-modeling</t>
  </si>
  <si>
    <t>https://diverse-project.github.io/k3/</t>
  </si>
  <si>
    <t>Possibly</t>
  </si>
  <si>
    <t>https://github.com/diverse-project/k3</t>
  </si>
  <si>
    <t>Eclipse, maven available</t>
  </si>
  <si>
    <t>EMF</t>
  </si>
  <si>
    <t>Tefkat</t>
  </si>
  <si>
    <t>Model transformation language for EMF</t>
  </si>
  <si>
    <t>Declarative, incremental, exogenous transformations</t>
  </si>
  <si>
    <t>https://tefkat.sourceforge.net/</t>
  </si>
  <si>
    <t>https://sourceforge.net/projects/tefkat/</t>
  </si>
  <si>
    <t>Eclipse</t>
  </si>
  <si>
    <t>ATL</t>
  </si>
  <si>
    <t>Model transformation language for Eclipse EMF</t>
  </si>
  <si>
    <t>Model-to-model transformation, Eclipse IDE</t>
  </si>
  <si>
    <t>https://eclipse.dev/atl/</t>
  </si>
  <si>
    <t>https://github.com/eclipse-atl/atl</t>
  </si>
  <si>
    <t>Epsilon</t>
  </si>
  <si>
    <t>Model management languages</t>
  </si>
  <si>
    <t>Model transformation languages, behavioural modeling, model migration, etc. Eclipse IDE</t>
  </si>
  <si>
    <t>https://eclipse.dev/epsilon/</t>
  </si>
  <si>
    <t>https://github.com/eclipse-epsilon/epsilon</t>
  </si>
  <si>
    <t>EMF, Open</t>
  </si>
  <si>
    <t>Fujaba/TGGs</t>
  </si>
  <si>
    <t>Triple graph grammars tool, with meta-modelling support</t>
  </si>
  <si>
    <t>Not available</t>
  </si>
  <si>
    <t>N/A</t>
  </si>
  <si>
    <t>GReAT</t>
  </si>
  <si>
    <t>Model-to-model transformation language embedded into Java as API</t>
  </si>
  <si>
    <t>Graph rewriting and Model transformation</t>
  </si>
  <si>
    <t>https://archive.isis.vanderbilt.edu/tools/GReAT</t>
  </si>
  <si>
    <t>GME</t>
  </si>
  <si>
    <t>eMoflon</t>
  </si>
  <si>
    <t>Triple graph grammars and unidirectional GTs, with meta-modelling support</t>
  </si>
  <si>
    <t>TGGs, bidirectional and unidirectional</t>
  </si>
  <si>
    <t>https://emoflon.org/</t>
  </si>
  <si>
    <t>Yes for GTs, No for TGGs (discontinued in 2024)</t>
  </si>
  <si>
    <t>https://github.com/eMoflon</t>
  </si>
  <si>
    <t>GPL</t>
  </si>
  <si>
    <t>RubyTL</t>
  </si>
  <si>
    <t>Model transformation language embedded into Ruby</t>
  </si>
  <si>
    <t>Hybrid language</t>
  </si>
  <si>
    <t>https://github.com/jesusc/rubytl</t>
  </si>
  <si>
    <t>Ruby</t>
  </si>
  <si>
    <t>SmartQVT</t>
  </si>
  <si>
    <t>Model-to-model transformation tool</t>
  </si>
  <si>
    <t>Implementation of QVT-o</t>
  </si>
  <si>
    <t>https://sourceforge.net/projects/smartqvt/</t>
  </si>
  <si>
    <t>QVT</t>
  </si>
  <si>
    <t>OMG standard</t>
  </si>
  <si>
    <t>DSLTrans</t>
  </si>
  <si>
    <t>Graphical language and tool for model transformations</t>
  </si>
  <si>
    <t>exogenous, rule-based, mathematical foundation ensures termination and confluence</t>
  </si>
  <si>
    <t>https://github.com/githubbrunob/DSLTransGIT</t>
  </si>
  <si>
    <t>? -- see observations</t>
  </si>
  <si>
    <t>Henshin</t>
  </si>
  <si>
    <t>Graph transformation tool for Eclipse EMF</t>
  </si>
  <si>
    <t>https://projects.eclipse.org/projects/modeling.emft.henshin</t>
  </si>
  <si>
    <t>https://github.com/eclipse-henshin/henshin</t>
  </si>
  <si>
    <t>JTL</t>
  </si>
  <si>
    <t>model transformation language for non-bijective transformations and change propagation</t>
  </si>
  <si>
    <t>bidirectional, declarative, compiled into ASP (search problem), traceability, textual</t>
  </si>
  <si>
    <t>https://jtl.univaq.it/index.html</t>
  </si>
  <si>
    <t>https://github.com/MDEGroup/jtl-eclipse</t>
  </si>
  <si>
    <t>EMF, compiled into ASP</t>
  </si>
  <si>
    <t>GReTL</t>
  </si>
  <si>
    <t>Graph-based transformation language</t>
  </si>
  <si>
    <t>imperative, out-place, specifications either in Java or using a textual DSL, extensible, termination and confluence is ensured</t>
  </si>
  <si>
    <t>https://jgralab.github.io/jgralab/</t>
  </si>
  <si>
    <t>https://github.com/jgralab/jgralab</t>
  </si>
  <si>
    <t>GNU GPL</t>
  </si>
  <si>
    <t>Mitra2</t>
  </si>
  <si>
    <t>Model-to-model transformation language</t>
  </si>
  <si>
    <t>Rule-based with imperative constructs. Java-like syntax</t>
  </si>
  <si>
    <t>https://jpilgrim.github.io/mitra2/</t>
  </si>
  <si>
    <t>https://github.com/jpilgrim/mitra2/</t>
  </si>
  <si>
    <t>?</t>
  </si>
  <si>
    <t>NMF</t>
  </si>
  <si>
    <t>Model management for .NET</t>
  </si>
  <si>
    <t>Model transformation, synchronization, code generation, etc.</t>
  </si>
  <si>
    <t>https://nmfcode.github.io/</t>
  </si>
  <si>
    <t>https://github.com/NMFCode/NMF</t>
  </si>
  <si>
    <t>Industry?</t>
  </si>
  <si>
    <t>BSD</t>
  </si>
  <si>
    <t>MoMOT</t>
  </si>
  <si>
    <t>Search-based model transformation</t>
  </si>
  <si>
    <t>https://martin-fleck.github.io/momot/</t>
  </si>
  <si>
    <t>https://github.com/martin-fleck/momot</t>
  </si>
  <si>
    <t>CoqTL</t>
  </si>
  <si>
    <t>Language for rule-based model- and graph- transformations</t>
  </si>
  <si>
    <t>Internal transformation language in Coq</t>
  </si>
  <si>
    <t>https://github.com/atlanmod/coqtl</t>
  </si>
  <si>
    <t>Coq</t>
  </si>
  <si>
    <t>Coq (can import Ecore models)</t>
  </si>
  <si>
    <t>YAMTL</t>
  </si>
  <si>
    <t>Incremental transformations</t>
  </si>
  <si>
    <t>https://yamtl.github.io/</t>
  </si>
  <si>
    <t>https://github.com/yamtl</t>
  </si>
  <si>
    <t>Java, IDE agnostic (Eclipse, VSCode, IntelliJ), Maven available</t>
  </si>
  <si>
    <t>MediniQVT</t>
  </si>
  <si>
    <t>Implementation of QVT-R</t>
  </si>
  <si>
    <t>ModelMorf</t>
  </si>
  <si>
    <t>??</t>
  </si>
  <si>
    <t>http://www.mdetools.com/</t>
  </si>
  <si>
    <t>No parece funcionar bien</t>
  </si>
  <si>
    <t>https://github.com/mdenet/awesome-mde</t>
  </si>
  <si>
    <t>Exogenous</t>
  </si>
  <si>
    <t>GTT</t>
  </si>
  <si>
    <t>MTT</t>
  </si>
  <si>
    <t>STD</t>
  </si>
  <si>
    <t>EXO</t>
  </si>
  <si>
    <t>Tags</t>
  </si>
  <si>
    <t>GTT, EXO</t>
  </si>
  <si>
    <t>Eclipse/EMF-based</t>
  </si>
  <si>
    <t>END</t>
  </si>
  <si>
    <t>GTT, END</t>
  </si>
  <si>
    <t>GTT, EMF</t>
  </si>
  <si>
    <t>MTT, EXO, EMF</t>
  </si>
  <si>
    <t>MTT, END, EMF</t>
  </si>
  <si>
    <t>MTT, END, EXO, EMF</t>
  </si>
  <si>
    <t>https://web.cs.upb.de/archive/fujaba/home.html</t>
  </si>
  <si>
    <t>MTT, EXO</t>
  </si>
  <si>
    <t>GTT, EXO, EMF</t>
  </si>
  <si>
    <t>GTT, END, EMF</t>
  </si>
  <si>
    <t>https://web.archive.org/web/20200220062453/http://projects.ikv.de/qvt</t>
  </si>
  <si>
    <t>Implementatio of QVT-o</t>
  </si>
  <si>
    <t>https://archive.eclipse.org/mmt/qvto/updates/releases/</t>
  </si>
  <si>
    <t>https://wiki.eclipse.org/M2M/Operational_QVT_Language_(QVTO)</t>
  </si>
  <si>
    <t>Other tools</t>
  </si>
  <si>
    <t>Eclipse QVT-o</t>
  </si>
  <si>
    <t>https://groove.cs.utwente.nl/</t>
  </si>
  <si>
    <t>#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</si>
</sst>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rgb="FFFF9900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9" fillId="3" borderId="1" xfId="1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7" fillId="3" borderId="1" xfId="0" applyFont="1" applyFill="1" applyBorder="1"/>
    <xf numFmtId="0" fontId="8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Graphs!$B$1</c:f>
              <c:strCache>
                <c:ptCount val="1"/>
                <c:pt idx="0">
                  <c:v># Tools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Graphs!$A$2:$A$34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Graphs!$B$2:$B$34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  <c:pt idx="12">
                  <c:v>9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18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16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  <c:pt idx="28">
                  <c:v>13</c:v>
                </c:pt>
                <c:pt idx="29">
                  <c:v>11</c:v>
                </c:pt>
                <c:pt idx="30">
                  <c:v>10</c:v>
                </c:pt>
                <c:pt idx="31">
                  <c:v>9</c:v>
                </c:pt>
                <c:pt idx="32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29-49CB-AA0A-DF01DBF73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8564451"/>
        <c:axId val="687050229"/>
      </c:barChart>
      <c:catAx>
        <c:axId val="1888564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100"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100"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7050229"/>
        <c:crosses val="autoZero"/>
        <c:auto val="1"/>
        <c:lblAlgn val="ctr"/>
        <c:lblOffset val="100"/>
        <c:noMultiLvlLbl val="1"/>
      </c:catAx>
      <c:valAx>
        <c:axId val="687050229"/>
        <c:scaling>
          <c:orientation val="minMax"/>
          <c:max val="2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100"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100" b="1">
                    <a:solidFill>
                      <a:srgbClr val="000000"/>
                    </a:solidFill>
                    <a:latin typeface="+mn-lt"/>
                  </a:rPr>
                  <a:t># Tools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85644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5</xdr:row>
      <xdr:rowOff>38100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ourceforge.net/projects/tefkat/" TargetMode="External"/><Relationship Id="rId18" Type="http://schemas.openxmlformats.org/officeDocument/2006/relationships/hyperlink" Target="https://archive.isis.vanderbilt.edu/tools/GReAT" TargetMode="External"/><Relationship Id="rId26" Type="http://schemas.openxmlformats.org/officeDocument/2006/relationships/hyperlink" Target="https://github.com/eclipse-henshin/henshin" TargetMode="External"/><Relationship Id="rId39" Type="http://schemas.openxmlformats.org/officeDocument/2006/relationships/hyperlink" Target="https://github.com/atlanmod/coqtl" TargetMode="External"/><Relationship Id="rId21" Type="http://schemas.openxmlformats.org/officeDocument/2006/relationships/hyperlink" Target="https://github.com/jesusc/rubytl" TargetMode="External"/><Relationship Id="rId34" Type="http://schemas.openxmlformats.org/officeDocument/2006/relationships/hyperlink" Target="https://github.com/jpilgrim/mitra2/" TargetMode="External"/><Relationship Id="rId42" Type="http://schemas.openxmlformats.org/officeDocument/2006/relationships/hyperlink" Target="http://www.mdetools.com/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github.com/ejaku/grgen" TargetMode="External"/><Relationship Id="rId2" Type="http://schemas.openxmlformats.org/officeDocument/2006/relationships/hyperlink" Target="https://github.com/nl-utwente-groove" TargetMode="External"/><Relationship Id="rId16" Type="http://schemas.openxmlformats.org/officeDocument/2006/relationships/hyperlink" Target="https://eclipse.dev/epsilon/" TargetMode="External"/><Relationship Id="rId29" Type="http://schemas.openxmlformats.org/officeDocument/2006/relationships/hyperlink" Target="https://github.com/MDEGroup/jtl-eclipse" TargetMode="External"/><Relationship Id="rId1" Type="http://schemas.openxmlformats.org/officeDocument/2006/relationships/hyperlink" Target="https://www.user.tu-berlin.de/o.runge/AGG/WWW/agg.html" TargetMode="External"/><Relationship Id="rId6" Type="http://schemas.openxmlformats.org/officeDocument/2006/relationships/hyperlink" Target="https://grgen.de/" TargetMode="External"/><Relationship Id="rId11" Type="http://schemas.openxmlformats.org/officeDocument/2006/relationships/hyperlink" Target="https://github.com/diverse-project/k3" TargetMode="External"/><Relationship Id="rId24" Type="http://schemas.openxmlformats.org/officeDocument/2006/relationships/hyperlink" Target="https://github.com/githubbrunob/DSLTransGIT" TargetMode="External"/><Relationship Id="rId32" Type="http://schemas.openxmlformats.org/officeDocument/2006/relationships/hyperlink" Target="https://github.com/jgralab/jgralab" TargetMode="External"/><Relationship Id="rId37" Type="http://schemas.openxmlformats.org/officeDocument/2006/relationships/hyperlink" Target="https://martin-fleck.github.io/momot/" TargetMode="External"/><Relationship Id="rId40" Type="http://schemas.openxmlformats.org/officeDocument/2006/relationships/hyperlink" Target="https://yamtl.github.io/" TargetMode="External"/><Relationship Id="rId45" Type="http://schemas.openxmlformats.org/officeDocument/2006/relationships/hyperlink" Target="https://wiki.eclipse.org/M2M/Operational_QVT_Language_(QVTO)" TargetMode="External"/><Relationship Id="rId5" Type="http://schemas.openxmlformats.org/officeDocument/2006/relationships/hyperlink" Target="http://grgen.net/" TargetMode="External"/><Relationship Id="rId15" Type="http://schemas.openxmlformats.org/officeDocument/2006/relationships/hyperlink" Target="https://github.com/eclipse-atl/atl" TargetMode="External"/><Relationship Id="rId23" Type="http://schemas.openxmlformats.org/officeDocument/2006/relationships/hyperlink" Target="https://github.com/githubbrunob/DSLTransGIT" TargetMode="External"/><Relationship Id="rId28" Type="http://schemas.openxmlformats.org/officeDocument/2006/relationships/hyperlink" Target="https://jtl.univaq.it/index.html" TargetMode="External"/><Relationship Id="rId36" Type="http://schemas.openxmlformats.org/officeDocument/2006/relationships/hyperlink" Target="https://github.com/NMFCode/NMF" TargetMode="External"/><Relationship Id="rId10" Type="http://schemas.openxmlformats.org/officeDocument/2006/relationships/hyperlink" Target="https://diverse-project.github.io/k3/" TargetMode="External"/><Relationship Id="rId19" Type="http://schemas.openxmlformats.org/officeDocument/2006/relationships/hyperlink" Target="https://emoflon.org/" TargetMode="External"/><Relationship Id="rId31" Type="http://schemas.openxmlformats.org/officeDocument/2006/relationships/hyperlink" Target="https://jgralab.github.io/jgralab/" TargetMode="External"/><Relationship Id="rId44" Type="http://schemas.openxmlformats.org/officeDocument/2006/relationships/hyperlink" Target="https://archive.eclipse.org/mmt/qvto/updates/releases/" TargetMode="External"/><Relationship Id="rId4" Type="http://schemas.openxmlformats.org/officeDocument/2006/relationships/hyperlink" Target="https://github.com/eclipse-viatra" TargetMode="External"/><Relationship Id="rId9" Type="http://schemas.openxmlformats.org/officeDocument/2006/relationships/hyperlink" Target="https://mola.mii.lu.lv/" TargetMode="External"/><Relationship Id="rId14" Type="http://schemas.openxmlformats.org/officeDocument/2006/relationships/hyperlink" Target="https://eclipse.dev/atl/" TargetMode="External"/><Relationship Id="rId22" Type="http://schemas.openxmlformats.org/officeDocument/2006/relationships/hyperlink" Target="https://sourceforge.net/projects/smartqvt/" TargetMode="External"/><Relationship Id="rId27" Type="http://schemas.openxmlformats.org/officeDocument/2006/relationships/hyperlink" Target="https://doi.org/10.1007/978-3-642-19440-5_11" TargetMode="External"/><Relationship Id="rId30" Type="http://schemas.openxmlformats.org/officeDocument/2006/relationships/hyperlink" Target="https://doi.org/10.1007/s10270-012-0250-3" TargetMode="External"/><Relationship Id="rId35" Type="http://schemas.openxmlformats.org/officeDocument/2006/relationships/hyperlink" Target="https://nmfcode.github.io/" TargetMode="External"/><Relationship Id="rId43" Type="http://schemas.openxmlformats.org/officeDocument/2006/relationships/hyperlink" Target="https://github.com/mdenet/awesome-mde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s://mola.mii.lu.lv/" TargetMode="External"/><Relationship Id="rId3" Type="http://schemas.openxmlformats.org/officeDocument/2006/relationships/hyperlink" Target="https://projects.eclipse.org/projects/modeling.viatra" TargetMode="External"/><Relationship Id="rId12" Type="http://schemas.openxmlformats.org/officeDocument/2006/relationships/hyperlink" Target="https://tefkat.sourceforge.net/" TargetMode="External"/><Relationship Id="rId17" Type="http://schemas.openxmlformats.org/officeDocument/2006/relationships/hyperlink" Target="https://github.com/eclipse-epsilon/epsilon" TargetMode="External"/><Relationship Id="rId25" Type="http://schemas.openxmlformats.org/officeDocument/2006/relationships/hyperlink" Target="https://projects.eclipse.org/projects/modeling.emft.henshin" TargetMode="External"/><Relationship Id="rId33" Type="http://schemas.openxmlformats.org/officeDocument/2006/relationships/hyperlink" Target="https://jpilgrim.github.io/mitra2/" TargetMode="External"/><Relationship Id="rId38" Type="http://schemas.openxmlformats.org/officeDocument/2006/relationships/hyperlink" Target="https://github.com/martin-fleck/momot" TargetMode="External"/><Relationship Id="rId46" Type="http://schemas.openxmlformats.org/officeDocument/2006/relationships/hyperlink" Target="https://groove.cs.utwente.nl/" TargetMode="External"/><Relationship Id="rId20" Type="http://schemas.openxmlformats.org/officeDocument/2006/relationships/hyperlink" Target="https://github.com/eMoflon" TargetMode="External"/><Relationship Id="rId41" Type="http://schemas.openxmlformats.org/officeDocument/2006/relationships/hyperlink" Target="https://github.com/yamt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5"/>
  <sheetViews>
    <sheetView tabSelected="1" workbookViewId="0">
      <selection activeCell="A30" sqref="A30"/>
    </sheetView>
  </sheetViews>
  <sheetFormatPr baseColWidth="10" defaultColWidth="12.5703125" defaultRowHeight="15.75" customHeight="1" x14ac:dyDescent="0.2"/>
  <cols>
    <col min="1" max="1" width="14.140625" customWidth="1"/>
    <col min="2" max="2" width="22.7109375" hidden="1" customWidth="1"/>
    <col min="3" max="3" width="22.7109375" customWidth="1"/>
    <col min="4" max="4" width="0" hidden="1" customWidth="1"/>
    <col min="6" max="6" width="19.7109375" customWidth="1"/>
    <col min="8" max="8" width="12.5703125" customWidth="1"/>
  </cols>
  <sheetData>
    <row r="1" spans="1:14" ht="12.75" x14ac:dyDescent="0.2">
      <c r="A1" s="6" t="s">
        <v>0</v>
      </c>
      <c r="B1" s="6" t="s">
        <v>1</v>
      </c>
      <c r="C1" s="6" t="s">
        <v>160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ht="12.75" x14ac:dyDescent="0.2">
      <c r="A2" s="7" t="s">
        <v>13</v>
      </c>
      <c r="B2" s="7" t="s">
        <v>14</v>
      </c>
      <c r="C2" s="7" t="s">
        <v>164</v>
      </c>
      <c r="D2" s="7" t="s">
        <v>15</v>
      </c>
      <c r="E2" s="7">
        <v>1993</v>
      </c>
      <c r="F2" s="8" t="s">
        <v>16</v>
      </c>
      <c r="G2" s="7">
        <v>2021</v>
      </c>
      <c r="H2" s="7" t="s">
        <v>17</v>
      </c>
      <c r="I2" s="7" t="s">
        <v>18</v>
      </c>
      <c r="J2" s="7" t="s">
        <v>19</v>
      </c>
      <c r="K2" s="9"/>
      <c r="L2" s="9"/>
      <c r="M2" s="9"/>
      <c r="N2" s="9"/>
    </row>
    <row r="3" spans="1:14" ht="12.75" x14ac:dyDescent="0.2">
      <c r="A3" s="7" t="s">
        <v>72</v>
      </c>
      <c r="B3" s="7" t="s">
        <v>73</v>
      </c>
      <c r="C3" s="7" t="s">
        <v>161</v>
      </c>
      <c r="D3" s="9"/>
      <c r="E3" s="7">
        <v>1998</v>
      </c>
      <c r="F3" s="7" t="s">
        <v>169</v>
      </c>
      <c r="G3" s="10">
        <v>2012</v>
      </c>
      <c r="H3" s="7" t="s">
        <v>17</v>
      </c>
      <c r="I3" s="10" t="s">
        <v>75</v>
      </c>
      <c r="J3" s="7" t="s">
        <v>19</v>
      </c>
      <c r="K3" s="7" t="s">
        <v>75</v>
      </c>
      <c r="L3" s="9"/>
      <c r="M3" s="9"/>
      <c r="N3" s="9"/>
    </row>
    <row r="4" spans="1:14" ht="12.75" x14ac:dyDescent="0.2">
      <c r="A4" s="7" t="s">
        <v>20</v>
      </c>
      <c r="B4" s="7" t="s">
        <v>21</v>
      </c>
      <c r="C4" s="7" t="s">
        <v>164</v>
      </c>
      <c r="D4" s="7" t="s">
        <v>22</v>
      </c>
      <c r="E4" s="7">
        <v>2002</v>
      </c>
      <c r="F4" s="7" t="s">
        <v>23</v>
      </c>
      <c r="G4" s="7">
        <v>2009</v>
      </c>
      <c r="H4" s="7" t="s">
        <v>17</v>
      </c>
      <c r="I4" s="9"/>
      <c r="J4" s="7" t="s">
        <v>19</v>
      </c>
      <c r="K4" s="7" t="s">
        <v>24</v>
      </c>
      <c r="L4" s="7" t="s">
        <v>25</v>
      </c>
      <c r="M4" s="7" t="s">
        <v>25</v>
      </c>
      <c r="N4" s="7">
        <v>4</v>
      </c>
    </row>
    <row r="5" spans="1:14" ht="12.75" x14ac:dyDescent="0.2">
      <c r="A5" s="7" t="s">
        <v>26</v>
      </c>
      <c r="B5" s="7" t="s">
        <v>14</v>
      </c>
      <c r="C5" s="7" t="s">
        <v>164</v>
      </c>
      <c r="D5" s="7" t="s">
        <v>27</v>
      </c>
      <c r="E5" s="7">
        <v>2003</v>
      </c>
      <c r="F5" s="11" t="s">
        <v>179</v>
      </c>
      <c r="G5" s="10">
        <v>2025</v>
      </c>
      <c r="H5" s="7" t="s">
        <v>28</v>
      </c>
      <c r="I5" s="12" t="s">
        <v>29</v>
      </c>
      <c r="J5" s="7" t="s">
        <v>19</v>
      </c>
      <c r="K5" s="7" t="s">
        <v>30</v>
      </c>
      <c r="L5" s="7" t="s">
        <v>31</v>
      </c>
      <c r="M5" s="9"/>
      <c r="N5" s="9"/>
    </row>
    <row r="6" spans="1:14" ht="12.75" x14ac:dyDescent="0.2">
      <c r="A6" s="7" t="s">
        <v>32</v>
      </c>
      <c r="B6" s="7" t="s">
        <v>14</v>
      </c>
      <c r="C6" s="7" t="s">
        <v>165</v>
      </c>
      <c r="D6" s="7" t="s">
        <v>33</v>
      </c>
      <c r="E6" s="7">
        <v>2003</v>
      </c>
      <c r="F6" s="12" t="s">
        <v>34</v>
      </c>
      <c r="G6" s="7">
        <v>2025</v>
      </c>
      <c r="H6" s="7" t="s">
        <v>28</v>
      </c>
      <c r="I6" s="8" t="s">
        <v>35</v>
      </c>
      <c r="J6" s="7" t="s">
        <v>36</v>
      </c>
      <c r="K6" s="7" t="s">
        <v>37</v>
      </c>
      <c r="L6" s="9"/>
      <c r="M6" s="9"/>
      <c r="N6" s="9"/>
    </row>
    <row r="7" spans="1:14" ht="12.75" x14ac:dyDescent="0.2">
      <c r="A7" s="8" t="s">
        <v>38</v>
      </c>
      <c r="B7" s="7" t="s">
        <v>14</v>
      </c>
      <c r="C7" s="7" t="s">
        <v>164</v>
      </c>
      <c r="D7" s="9"/>
      <c r="E7" s="7">
        <v>2004</v>
      </c>
      <c r="F7" s="8" t="s">
        <v>39</v>
      </c>
      <c r="G7" s="13">
        <v>2025</v>
      </c>
      <c r="H7" s="14" t="s">
        <v>28</v>
      </c>
      <c r="I7" s="15" t="s">
        <v>40</v>
      </c>
      <c r="J7" s="14" t="s">
        <v>19</v>
      </c>
      <c r="K7" s="7" t="s">
        <v>41</v>
      </c>
      <c r="L7" s="7" t="s">
        <v>42</v>
      </c>
      <c r="M7" s="9"/>
      <c r="N7" s="9"/>
    </row>
    <row r="8" spans="1:14" ht="12.75" x14ac:dyDescent="0.2">
      <c r="A8" s="7" t="s">
        <v>43</v>
      </c>
      <c r="B8" s="7" t="s">
        <v>44</v>
      </c>
      <c r="C8" s="7" t="s">
        <v>166</v>
      </c>
      <c r="D8" s="9"/>
      <c r="E8" s="7">
        <v>2004</v>
      </c>
      <c r="F8" s="12" t="s">
        <v>45</v>
      </c>
      <c r="G8" s="7">
        <v>2011</v>
      </c>
      <c r="H8" s="7" t="s">
        <v>17</v>
      </c>
      <c r="I8" s="8" t="s">
        <v>45</v>
      </c>
      <c r="J8" s="7" t="s">
        <v>19</v>
      </c>
      <c r="K8" s="7" t="s">
        <v>46</v>
      </c>
      <c r="L8" s="9"/>
      <c r="M8" s="9"/>
      <c r="N8" s="9"/>
    </row>
    <row r="9" spans="1:14" ht="12.75" x14ac:dyDescent="0.2">
      <c r="A9" s="7" t="s">
        <v>47</v>
      </c>
      <c r="B9" s="7" t="s">
        <v>48</v>
      </c>
      <c r="C9" s="7" t="s">
        <v>167</v>
      </c>
      <c r="D9" s="16" t="s">
        <v>49</v>
      </c>
      <c r="E9" s="7">
        <v>2005</v>
      </c>
      <c r="F9" s="8" t="s">
        <v>50</v>
      </c>
      <c r="G9" s="7">
        <v>2023</v>
      </c>
      <c r="H9" s="7" t="s">
        <v>51</v>
      </c>
      <c r="I9" s="8" t="s">
        <v>52</v>
      </c>
      <c r="J9" s="7" t="s">
        <v>19</v>
      </c>
      <c r="K9" s="7" t="s">
        <v>37</v>
      </c>
      <c r="L9" s="7" t="s">
        <v>53</v>
      </c>
      <c r="M9" s="7" t="s">
        <v>54</v>
      </c>
      <c r="N9" s="7">
        <v>12</v>
      </c>
    </row>
    <row r="10" spans="1:14" ht="12.75" x14ac:dyDescent="0.2">
      <c r="A10" s="7" t="s">
        <v>55</v>
      </c>
      <c r="B10" s="7" t="s">
        <v>56</v>
      </c>
      <c r="C10" s="7" t="s">
        <v>166</v>
      </c>
      <c r="D10" s="16" t="s">
        <v>57</v>
      </c>
      <c r="E10" s="7">
        <v>2005</v>
      </c>
      <c r="F10" s="8" t="s">
        <v>58</v>
      </c>
      <c r="G10" s="7">
        <v>2014</v>
      </c>
      <c r="H10" s="7" t="s">
        <v>17</v>
      </c>
      <c r="I10" s="8" t="s">
        <v>59</v>
      </c>
      <c r="J10" s="9"/>
      <c r="K10" s="7" t="s">
        <v>41</v>
      </c>
      <c r="L10" s="7" t="s">
        <v>60</v>
      </c>
      <c r="M10" s="7" t="s">
        <v>54</v>
      </c>
      <c r="N10" s="9"/>
    </row>
    <row r="11" spans="1:14" ht="12.75" x14ac:dyDescent="0.2">
      <c r="A11" s="7" t="s">
        <v>61</v>
      </c>
      <c r="B11" s="7" t="s">
        <v>62</v>
      </c>
      <c r="C11" s="7" t="s">
        <v>166</v>
      </c>
      <c r="D11" s="7" t="s">
        <v>63</v>
      </c>
      <c r="E11" s="7">
        <v>2006</v>
      </c>
      <c r="F11" s="8" t="s">
        <v>64</v>
      </c>
      <c r="G11" s="7">
        <v>2025</v>
      </c>
      <c r="H11" s="7" t="s">
        <v>28</v>
      </c>
      <c r="I11" s="8" t="s">
        <v>65</v>
      </c>
      <c r="J11" s="7" t="s">
        <v>36</v>
      </c>
      <c r="K11" s="7" t="s">
        <v>37</v>
      </c>
      <c r="L11" s="7" t="s">
        <v>60</v>
      </c>
      <c r="M11" s="7" t="s">
        <v>54</v>
      </c>
      <c r="N11" s="7">
        <v>4</v>
      </c>
    </row>
    <row r="12" spans="1:14" ht="12.75" x14ac:dyDescent="0.2">
      <c r="A12" s="16" t="s">
        <v>66</v>
      </c>
      <c r="B12" s="7" t="s">
        <v>67</v>
      </c>
      <c r="C12" s="7" t="s">
        <v>168</v>
      </c>
      <c r="D12" s="7" t="s">
        <v>68</v>
      </c>
      <c r="E12" s="7">
        <v>2006</v>
      </c>
      <c r="F12" s="12" t="s">
        <v>69</v>
      </c>
      <c r="G12" s="7">
        <v>2025</v>
      </c>
      <c r="H12" s="7" t="s">
        <v>28</v>
      </c>
      <c r="I12" s="12" t="s">
        <v>70</v>
      </c>
      <c r="J12" s="7" t="s">
        <v>36</v>
      </c>
      <c r="K12" s="7" t="s">
        <v>37</v>
      </c>
      <c r="L12" s="7" t="s">
        <v>53</v>
      </c>
      <c r="M12" s="7" t="s">
        <v>71</v>
      </c>
      <c r="N12" s="7">
        <v>18</v>
      </c>
    </row>
    <row r="13" spans="1:14" ht="12.75" x14ac:dyDescent="0.2">
      <c r="A13" s="7" t="s">
        <v>76</v>
      </c>
      <c r="B13" s="7" t="s">
        <v>77</v>
      </c>
      <c r="C13" s="7" t="s">
        <v>161</v>
      </c>
      <c r="D13" s="7" t="s">
        <v>78</v>
      </c>
      <c r="E13" s="7">
        <v>2006</v>
      </c>
      <c r="F13" s="8" t="s">
        <v>79</v>
      </c>
      <c r="G13" s="7">
        <v>2011</v>
      </c>
      <c r="H13" s="7" t="s">
        <v>17</v>
      </c>
      <c r="I13" s="7" t="s">
        <v>75</v>
      </c>
      <c r="J13" s="7" t="s">
        <v>19</v>
      </c>
      <c r="K13" s="9"/>
      <c r="L13" s="9"/>
      <c r="M13" s="7" t="s">
        <v>80</v>
      </c>
      <c r="N13" s="9"/>
    </row>
    <row r="14" spans="1:14" ht="12.75" x14ac:dyDescent="0.2">
      <c r="A14" s="17" t="s">
        <v>81</v>
      </c>
      <c r="B14" s="7" t="s">
        <v>82</v>
      </c>
      <c r="C14" s="7" t="s">
        <v>171</v>
      </c>
      <c r="D14" s="7" t="s">
        <v>83</v>
      </c>
      <c r="E14" s="7">
        <v>2006</v>
      </c>
      <c r="F14" s="12" t="s">
        <v>84</v>
      </c>
      <c r="G14" s="10">
        <v>2024</v>
      </c>
      <c r="H14" s="7" t="s">
        <v>85</v>
      </c>
      <c r="I14" s="12" t="s">
        <v>86</v>
      </c>
      <c r="J14" s="7" t="s">
        <v>19</v>
      </c>
      <c r="K14" s="7" t="s">
        <v>87</v>
      </c>
      <c r="L14" s="7" t="s">
        <v>60</v>
      </c>
      <c r="M14" s="7" t="s">
        <v>54</v>
      </c>
      <c r="N14" s="7">
        <v>22</v>
      </c>
    </row>
    <row r="15" spans="1:14" ht="12.75" x14ac:dyDescent="0.2">
      <c r="A15" s="7" t="s">
        <v>88</v>
      </c>
      <c r="B15" s="7" t="s">
        <v>89</v>
      </c>
      <c r="C15" s="7" t="s">
        <v>166</v>
      </c>
      <c r="D15" s="7" t="s">
        <v>90</v>
      </c>
      <c r="E15" s="7">
        <v>2006</v>
      </c>
      <c r="F15" s="7" t="s">
        <v>74</v>
      </c>
      <c r="G15" s="7">
        <v>2017</v>
      </c>
      <c r="H15" s="7" t="s">
        <v>17</v>
      </c>
      <c r="I15" s="8" t="s">
        <v>91</v>
      </c>
      <c r="J15" s="7" t="s">
        <v>19</v>
      </c>
      <c r="K15" s="7" t="s">
        <v>37</v>
      </c>
      <c r="L15" s="7" t="s">
        <v>92</v>
      </c>
      <c r="M15" s="7" t="s">
        <v>71</v>
      </c>
      <c r="N15" s="7">
        <v>1</v>
      </c>
    </row>
    <row r="16" spans="1:14" ht="12.75" x14ac:dyDescent="0.2">
      <c r="A16" s="7" t="s">
        <v>93</v>
      </c>
      <c r="B16" s="7" t="s">
        <v>94</v>
      </c>
      <c r="C16" s="7" t="s">
        <v>166</v>
      </c>
      <c r="D16" s="7" t="s">
        <v>95</v>
      </c>
      <c r="E16" s="7">
        <v>2006</v>
      </c>
      <c r="F16" s="7" t="s">
        <v>74</v>
      </c>
      <c r="G16" s="7">
        <v>2008</v>
      </c>
      <c r="H16" s="7" t="s">
        <v>17</v>
      </c>
      <c r="I16" s="8" t="s">
        <v>96</v>
      </c>
      <c r="J16" s="9"/>
      <c r="K16" s="9"/>
      <c r="L16" s="7" t="s">
        <v>60</v>
      </c>
      <c r="M16" s="7" t="s">
        <v>54</v>
      </c>
      <c r="N16" s="9"/>
    </row>
    <row r="17" spans="1:14" ht="12.75" x14ac:dyDescent="0.2">
      <c r="A17" s="7" t="s">
        <v>148</v>
      </c>
      <c r="B17" s="7" t="s">
        <v>94</v>
      </c>
      <c r="C17" s="7" t="s">
        <v>166</v>
      </c>
      <c r="D17" s="7" t="s">
        <v>149</v>
      </c>
      <c r="E17" s="7">
        <v>2007</v>
      </c>
      <c r="F17" s="7" t="s">
        <v>173</v>
      </c>
      <c r="G17" s="13">
        <v>2011</v>
      </c>
      <c r="H17" s="14" t="s">
        <v>17</v>
      </c>
      <c r="I17" s="15"/>
      <c r="J17" s="14" t="s">
        <v>131</v>
      </c>
      <c r="K17" s="7"/>
      <c r="L17" s="7" t="s">
        <v>60</v>
      </c>
      <c r="M17" s="7" t="s">
        <v>54</v>
      </c>
      <c r="N17" s="9"/>
    </row>
    <row r="18" spans="1:14" ht="12.75" x14ac:dyDescent="0.2">
      <c r="A18" s="18" t="s">
        <v>97</v>
      </c>
      <c r="B18" s="18" t="s">
        <v>98</v>
      </c>
      <c r="C18" s="7" t="s">
        <v>158</v>
      </c>
      <c r="D18" s="9"/>
      <c r="E18" s="7">
        <v>2008</v>
      </c>
      <c r="F18" s="7"/>
      <c r="G18" s="13">
        <v>2016</v>
      </c>
      <c r="H18" s="14" t="s">
        <v>17</v>
      </c>
      <c r="I18" s="15"/>
      <c r="J18" s="14"/>
      <c r="K18" s="7"/>
      <c r="L18" s="7"/>
      <c r="M18" s="9"/>
      <c r="N18" s="9"/>
    </row>
    <row r="19" spans="1:14" ht="12.75" x14ac:dyDescent="0.2">
      <c r="A19" s="7" t="s">
        <v>178</v>
      </c>
      <c r="B19" s="9"/>
      <c r="C19" s="7" t="s">
        <v>166</v>
      </c>
      <c r="D19" s="7" t="s">
        <v>174</v>
      </c>
      <c r="E19" s="7">
        <v>2010</v>
      </c>
      <c r="F19" s="11" t="s">
        <v>176</v>
      </c>
      <c r="G19" s="13">
        <v>2021</v>
      </c>
      <c r="H19" s="14" t="s">
        <v>17</v>
      </c>
      <c r="I19" s="11" t="s">
        <v>175</v>
      </c>
      <c r="J19" s="9"/>
      <c r="K19" s="9"/>
      <c r="L19" s="9"/>
      <c r="M19" s="9"/>
      <c r="N19" s="9"/>
    </row>
    <row r="20" spans="1:14" ht="12.75" x14ac:dyDescent="0.2">
      <c r="A20" s="7" t="s">
        <v>99</v>
      </c>
      <c r="B20" s="7" t="s">
        <v>100</v>
      </c>
      <c r="C20" s="7" t="s">
        <v>166</v>
      </c>
      <c r="D20" s="7" t="s">
        <v>101</v>
      </c>
      <c r="E20" s="7">
        <v>2010</v>
      </c>
      <c r="F20" s="19" t="s">
        <v>102</v>
      </c>
      <c r="G20" s="13">
        <v>2017</v>
      </c>
      <c r="H20" s="14" t="s">
        <v>103</v>
      </c>
      <c r="I20" s="19" t="s">
        <v>102</v>
      </c>
      <c r="J20" s="14" t="s">
        <v>19</v>
      </c>
      <c r="K20" s="7" t="s">
        <v>37</v>
      </c>
      <c r="L20" s="7" t="s">
        <v>60</v>
      </c>
      <c r="M20" s="7" t="s">
        <v>54</v>
      </c>
      <c r="N20" s="7">
        <v>3</v>
      </c>
    </row>
    <row r="21" spans="1:14" ht="12.75" x14ac:dyDescent="0.2">
      <c r="A21" s="7" t="s">
        <v>104</v>
      </c>
      <c r="B21" s="7" t="s">
        <v>105</v>
      </c>
      <c r="C21" s="7" t="s">
        <v>172</v>
      </c>
      <c r="D21" s="9"/>
      <c r="E21" s="7">
        <v>2010</v>
      </c>
      <c r="F21" s="11" t="s">
        <v>106</v>
      </c>
      <c r="G21" s="13">
        <v>2025</v>
      </c>
      <c r="H21" s="14" t="s">
        <v>28</v>
      </c>
      <c r="I21" s="20" t="s">
        <v>107</v>
      </c>
      <c r="J21" s="14" t="s">
        <v>19</v>
      </c>
      <c r="K21" s="7" t="s">
        <v>37</v>
      </c>
      <c r="L21" s="7" t="s">
        <v>60</v>
      </c>
      <c r="M21" s="7" t="s">
        <v>54</v>
      </c>
      <c r="N21" s="7">
        <v>12</v>
      </c>
    </row>
    <row r="22" spans="1:14" ht="12.75" x14ac:dyDescent="0.2">
      <c r="A22" s="12" t="s">
        <v>108</v>
      </c>
      <c r="B22" s="7" t="s">
        <v>109</v>
      </c>
      <c r="C22" s="7" t="s">
        <v>166</v>
      </c>
      <c r="D22" s="7" t="s">
        <v>110</v>
      </c>
      <c r="E22" s="7">
        <v>2010</v>
      </c>
      <c r="F22" s="12" t="s">
        <v>111</v>
      </c>
      <c r="G22" s="7">
        <v>2019</v>
      </c>
      <c r="H22" s="7" t="s">
        <v>17</v>
      </c>
      <c r="I22" s="12" t="s">
        <v>112</v>
      </c>
      <c r="J22" s="7" t="s">
        <v>19</v>
      </c>
      <c r="K22" s="7" t="s">
        <v>37</v>
      </c>
      <c r="L22" s="7" t="s">
        <v>60</v>
      </c>
      <c r="M22" s="7" t="s">
        <v>113</v>
      </c>
      <c r="N22" s="7">
        <v>4</v>
      </c>
    </row>
    <row r="23" spans="1:14" ht="12.75" x14ac:dyDescent="0.2">
      <c r="A23" s="12" t="s">
        <v>114</v>
      </c>
      <c r="B23" s="7" t="s">
        <v>115</v>
      </c>
      <c r="C23" s="7" t="s">
        <v>164</v>
      </c>
      <c r="D23" s="7" t="s">
        <v>116</v>
      </c>
      <c r="E23" s="7">
        <v>2011</v>
      </c>
      <c r="F23" s="8" t="s">
        <v>117</v>
      </c>
      <c r="G23" s="10">
        <v>2019</v>
      </c>
      <c r="H23" s="7" t="s">
        <v>17</v>
      </c>
      <c r="I23" s="8" t="s">
        <v>118</v>
      </c>
      <c r="J23" s="7" t="s">
        <v>19</v>
      </c>
      <c r="K23" s="7" t="s">
        <v>119</v>
      </c>
      <c r="L23" s="7" t="s">
        <v>31</v>
      </c>
      <c r="M23" s="7"/>
      <c r="N23" s="7">
        <v>7</v>
      </c>
    </row>
    <row r="24" spans="1:14" ht="12.75" x14ac:dyDescent="0.2">
      <c r="A24" s="7" t="s">
        <v>120</v>
      </c>
      <c r="B24" s="7" t="s">
        <v>121</v>
      </c>
      <c r="C24" s="7" t="s">
        <v>166</v>
      </c>
      <c r="D24" s="7" t="s">
        <v>122</v>
      </c>
      <c r="E24" s="7">
        <v>2012</v>
      </c>
      <c r="F24" s="8" t="s">
        <v>123</v>
      </c>
      <c r="G24" s="13">
        <v>2013</v>
      </c>
      <c r="H24" s="14" t="s">
        <v>17</v>
      </c>
      <c r="I24" s="20" t="s">
        <v>124</v>
      </c>
      <c r="J24" s="14" t="s">
        <v>19</v>
      </c>
      <c r="K24" s="7" t="s">
        <v>125</v>
      </c>
      <c r="L24" s="7" t="s">
        <v>60</v>
      </c>
      <c r="M24" s="7" t="s">
        <v>54</v>
      </c>
      <c r="N24" s="7">
        <v>1</v>
      </c>
    </row>
    <row r="25" spans="1:14" ht="12.75" x14ac:dyDescent="0.2">
      <c r="A25" s="7" t="s">
        <v>126</v>
      </c>
      <c r="B25" s="7" t="s">
        <v>127</v>
      </c>
      <c r="C25" s="7" t="s">
        <v>170</v>
      </c>
      <c r="D25" s="7" t="s">
        <v>128</v>
      </c>
      <c r="E25" s="7">
        <v>2013</v>
      </c>
      <c r="F25" s="8" t="s">
        <v>129</v>
      </c>
      <c r="G25" s="13">
        <v>2025</v>
      </c>
      <c r="H25" s="14" t="s">
        <v>28</v>
      </c>
      <c r="I25" s="20" t="s">
        <v>130</v>
      </c>
      <c r="J25" s="14" t="s">
        <v>131</v>
      </c>
      <c r="K25" s="7" t="s">
        <v>132</v>
      </c>
      <c r="L25" s="7" t="s">
        <v>42</v>
      </c>
      <c r="M25" s="7"/>
      <c r="N25" s="7">
        <v>14</v>
      </c>
    </row>
    <row r="26" spans="1:14" ht="12.75" x14ac:dyDescent="0.2">
      <c r="A26" s="7" t="s">
        <v>133</v>
      </c>
      <c r="B26" s="7" t="s">
        <v>134</v>
      </c>
      <c r="C26" s="7" t="s">
        <v>172</v>
      </c>
      <c r="D26" s="9"/>
      <c r="E26" s="7">
        <v>2015</v>
      </c>
      <c r="F26" s="8" t="s">
        <v>135</v>
      </c>
      <c r="G26" s="13">
        <v>2017</v>
      </c>
      <c r="H26" s="14" t="s">
        <v>17</v>
      </c>
      <c r="I26" s="20" t="s">
        <v>136</v>
      </c>
      <c r="J26" s="14"/>
      <c r="K26" s="7" t="s">
        <v>75</v>
      </c>
      <c r="L26" s="7" t="s">
        <v>60</v>
      </c>
      <c r="M26" s="7"/>
      <c r="N26" s="7">
        <v>5</v>
      </c>
    </row>
    <row r="27" spans="1:14" ht="12.75" x14ac:dyDescent="0.2">
      <c r="A27" s="7" t="s">
        <v>137</v>
      </c>
      <c r="B27" s="7" t="s">
        <v>138</v>
      </c>
      <c r="C27" s="7" t="s">
        <v>170</v>
      </c>
      <c r="D27" s="7" t="s">
        <v>139</v>
      </c>
      <c r="E27" s="7">
        <v>2018</v>
      </c>
      <c r="F27" s="7" t="s">
        <v>74</v>
      </c>
      <c r="G27" s="7">
        <v>2022</v>
      </c>
      <c r="H27" s="7" t="s">
        <v>17</v>
      </c>
      <c r="I27" s="8" t="s">
        <v>140</v>
      </c>
      <c r="J27" s="7" t="s">
        <v>19</v>
      </c>
      <c r="K27" s="7" t="s">
        <v>37</v>
      </c>
      <c r="L27" s="7" t="s">
        <v>141</v>
      </c>
      <c r="M27" s="7" t="s">
        <v>142</v>
      </c>
      <c r="N27" s="7">
        <v>4</v>
      </c>
    </row>
    <row r="28" spans="1:14" ht="12.75" x14ac:dyDescent="0.2">
      <c r="A28" s="7" t="s">
        <v>143</v>
      </c>
      <c r="B28" s="7" t="s">
        <v>77</v>
      </c>
      <c r="C28" s="7" t="s">
        <v>166</v>
      </c>
      <c r="D28" s="7" t="s">
        <v>144</v>
      </c>
      <c r="E28" s="7">
        <v>2018</v>
      </c>
      <c r="F28" s="8" t="s">
        <v>145</v>
      </c>
      <c r="G28" s="13">
        <v>2024</v>
      </c>
      <c r="H28" s="14" t="s">
        <v>28</v>
      </c>
      <c r="I28" s="20" t="s">
        <v>146</v>
      </c>
      <c r="J28" s="14"/>
      <c r="K28" s="7" t="s">
        <v>125</v>
      </c>
      <c r="L28" s="7" t="s">
        <v>147</v>
      </c>
      <c r="M28" s="7" t="s">
        <v>54</v>
      </c>
      <c r="N28" s="9"/>
    </row>
    <row r="31" spans="1:14" ht="12.75" x14ac:dyDescent="0.2">
      <c r="A31" s="1"/>
      <c r="B31" s="2" t="s">
        <v>152</v>
      </c>
      <c r="C31" s="2"/>
      <c r="D31" s="1" t="s">
        <v>153</v>
      </c>
    </row>
    <row r="32" spans="1:14" ht="12.75" x14ac:dyDescent="0.2">
      <c r="B32" s="2" t="s">
        <v>154</v>
      </c>
      <c r="C32" s="2"/>
    </row>
    <row r="36" spans="1:12" ht="15.75" customHeight="1" x14ac:dyDescent="0.2">
      <c r="D36" t="s">
        <v>156</v>
      </c>
    </row>
    <row r="37" spans="1:12" ht="15.75" customHeight="1" x14ac:dyDescent="0.2">
      <c r="D37" t="s">
        <v>157</v>
      </c>
    </row>
    <row r="38" spans="1:12" ht="15.75" customHeight="1" x14ac:dyDescent="0.2">
      <c r="D38" t="s">
        <v>158</v>
      </c>
    </row>
    <row r="39" spans="1:12" ht="15.75" customHeight="1" x14ac:dyDescent="0.2">
      <c r="D39" t="s">
        <v>163</v>
      </c>
    </row>
    <row r="40" spans="1:12" ht="15.75" customHeight="1" x14ac:dyDescent="0.2">
      <c r="A40" t="s">
        <v>155</v>
      </c>
      <c r="D40" t="s">
        <v>159</v>
      </c>
    </row>
    <row r="41" spans="1:12" ht="15.75" customHeight="1" x14ac:dyDescent="0.2">
      <c r="A41" t="s">
        <v>162</v>
      </c>
      <c r="D41" t="s">
        <v>54</v>
      </c>
    </row>
    <row r="44" spans="1:12" ht="15.75" customHeight="1" x14ac:dyDescent="0.2">
      <c r="A44" t="s">
        <v>177</v>
      </c>
    </row>
    <row r="45" spans="1:12" ht="15.75" customHeight="1" x14ac:dyDescent="0.2">
      <c r="A45" s="1" t="s">
        <v>150</v>
      </c>
      <c r="B45" s="1" t="s">
        <v>94</v>
      </c>
      <c r="C45" s="1" t="s">
        <v>166</v>
      </c>
      <c r="D45" s="1" t="s">
        <v>149</v>
      </c>
      <c r="E45" s="1"/>
      <c r="F45" s="1" t="s">
        <v>74</v>
      </c>
      <c r="G45" s="3"/>
      <c r="H45" s="4" t="s">
        <v>17</v>
      </c>
      <c r="I45" s="5"/>
      <c r="J45" s="4" t="s">
        <v>151</v>
      </c>
      <c r="K45" s="1"/>
      <c r="L45" s="1"/>
    </row>
  </sheetData>
  <autoFilter ref="A1:AC28" xr:uid="{00000000-0009-0000-0000-000000000000}"/>
  <hyperlinks>
    <hyperlink ref="F2" r:id="rId1" xr:uid="{00000000-0004-0000-0000-000000000000}"/>
    <hyperlink ref="I5" r:id="rId2" xr:uid="{00000000-0004-0000-0000-000001000000}"/>
    <hyperlink ref="F6" r:id="rId3" xr:uid="{00000000-0004-0000-0000-000002000000}"/>
    <hyperlink ref="I6" r:id="rId4" xr:uid="{00000000-0004-0000-0000-000003000000}"/>
    <hyperlink ref="A7" r:id="rId5" xr:uid="{00000000-0004-0000-0000-000004000000}"/>
    <hyperlink ref="F7" r:id="rId6" xr:uid="{00000000-0004-0000-0000-000005000000}"/>
    <hyperlink ref="I7" r:id="rId7" xr:uid="{00000000-0004-0000-0000-000006000000}"/>
    <hyperlink ref="F8" r:id="rId8" xr:uid="{00000000-0004-0000-0000-000007000000}"/>
    <hyperlink ref="I8" r:id="rId9" xr:uid="{00000000-0004-0000-0000-000008000000}"/>
    <hyperlink ref="F9" r:id="rId10" xr:uid="{00000000-0004-0000-0000-000009000000}"/>
    <hyperlink ref="I9" r:id="rId11" xr:uid="{00000000-0004-0000-0000-00000A000000}"/>
    <hyperlink ref="F10" r:id="rId12" xr:uid="{00000000-0004-0000-0000-00000B000000}"/>
    <hyperlink ref="I10" r:id="rId13" xr:uid="{00000000-0004-0000-0000-00000C000000}"/>
    <hyperlink ref="F11" r:id="rId14" xr:uid="{00000000-0004-0000-0000-00000D000000}"/>
    <hyperlink ref="I11" r:id="rId15" xr:uid="{00000000-0004-0000-0000-00000E000000}"/>
    <hyperlink ref="F12" r:id="rId16" xr:uid="{00000000-0004-0000-0000-00000F000000}"/>
    <hyperlink ref="I12" r:id="rId17" xr:uid="{00000000-0004-0000-0000-000010000000}"/>
    <hyperlink ref="F13" r:id="rId18" xr:uid="{00000000-0004-0000-0000-000011000000}"/>
    <hyperlink ref="F14" r:id="rId19" xr:uid="{00000000-0004-0000-0000-000012000000}"/>
    <hyperlink ref="I14" r:id="rId20" xr:uid="{00000000-0004-0000-0000-000013000000}"/>
    <hyperlink ref="I15" r:id="rId21" xr:uid="{00000000-0004-0000-0000-000014000000}"/>
    <hyperlink ref="I16" r:id="rId22" xr:uid="{00000000-0004-0000-0000-000015000000}"/>
    <hyperlink ref="F20" r:id="rId23" xr:uid="{00000000-0004-0000-0000-000016000000}"/>
    <hyperlink ref="I20" r:id="rId24" xr:uid="{00000000-0004-0000-0000-000017000000}"/>
    <hyperlink ref="F21" r:id="rId25" xr:uid="{00000000-0004-0000-0000-000019000000}"/>
    <hyperlink ref="I21" r:id="rId26" xr:uid="{00000000-0004-0000-0000-00001A000000}"/>
    <hyperlink ref="A22" r:id="rId27" xr:uid="{00000000-0004-0000-0000-00001B000000}"/>
    <hyperlink ref="F22" r:id="rId28" xr:uid="{00000000-0004-0000-0000-00001C000000}"/>
    <hyperlink ref="I22" r:id="rId29" xr:uid="{00000000-0004-0000-0000-00001D000000}"/>
    <hyperlink ref="A23" r:id="rId30" xr:uid="{00000000-0004-0000-0000-00001E000000}"/>
    <hyperlink ref="F23" r:id="rId31" xr:uid="{00000000-0004-0000-0000-00001F000000}"/>
    <hyperlink ref="I23" r:id="rId32" xr:uid="{00000000-0004-0000-0000-000020000000}"/>
    <hyperlink ref="F24" r:id="rId33" xr:uid="{00000000-0004-0000-0000-000021000000}"/>
    <hyperlink ref="I24" r:id="rId34" xr:uid="{00000000-0004-0000-0000-000022000000}"/>
    <hyperlink ref="F25" r:id="rId35" xr:uid="{00000000-0004-0000-0000-000023000000}"/>
    <hyperlink ref="I25" r:id="rId36" xr:uid="{00000000-0004-0000-0000-000024000000}"/>
    <hyperlink ref="F26" r:id="rId37" xr:uid="{00000000-0004-0000-0000-000025000000}"/>
    <hyperlink ref="I26" r:id="rId38" xr:uid="{00000000-0004-0000-0000-000026000000}"/>
    <hyperlink ref="I27" r:id="rId39" xr:uid="{00000000-0004-0000-0000-000027000000}"/>
    <hyperlink ref="F28" r:id="rId40" xr:uid="{00000000-0004-0000-0000-000028000000}"/>
    <hyperlink ref="I28" r:id="rId41" xr:uid="{00000000-0004-0000-0000-000029000000}"/>
    <hyperlink ref="B31" r:id="rId42" xr:uid="{00000000-0004-0000-0000-00002A000000}"/>
    <hyperlink ref="B32" r:id="rId43" xr:uid="{00000000-0004-0000-0000-00002B000000}"/>
    <hyperlink ref="I19" r:id="rId44" xr:uid="{A9D5E1BD-296F-4B81-82D5-AD1ADB98D8E5}"/>
    <hyperlink ref="F19" r:id="rId45" xr:uid="{955C26F4-4BF6-42FD-98BF-66474B1A5506}"/>
    <hyperlink ref="F5" r:id="rId46" xr:uid="{F34BCE1E-0EF7-42A3-9599-2EA6E9325CC2}"/>
  </hyperlinks>
  <pageMargins left="0.7" right="0.7" top="0.75" bottom="0.75" header="0.3" footer="0.3"/>
  <legacy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4"/>
  <sheetViews>
    <sheetView workbookViewId="0">
      <selection activeCell="F3" sqref="F3"/>
    </sheetView>
  </sheetViews>
  <sheetFormatPr baseColWidth="10" defaultColWidth="12.5703125" defaultRowHeight="15.75" customHeight="1" x14ac:dyDescent="0.2"/>
  <sheetData>
    <row r="1" spans="1:2" x14ac:dyDescent="0.2">
      <c r="A1" s="1" t="s">
        <v>3</v>
      </c>
      <c r="B1" s="1" t="s">
        <v>180</v>
      </c>
    </row>
    <row r="2" spans="1:2" x14ac:dyDescent="0.2">
      <c r="A2" s="1">
        <v>1993</v>
      </c>
      <c r="B2" s="1">
        <f>COUNTIFS(Data!$E$2:$E$28, "&lt;=" &amp; A2, Data!$G$2:$G$28, "&gt;=" &amp; A2)</f>
        <v>1</v>
      </c>
    </row>
    <row r="3" spans="1:2" x14ac:dyDescent="0.2">
      <c r="A3" s="1">
        <f t="shared" ref="A3:A34" si="0">A2+1</f>
        <v>1994</v>
      </c>
      <c r="B3" s="1">
        <f>COUNTIFS(Data!$E$2:$E$28, "&lt;=" &amp; A3, Data!$G$2:$G$28, "&gt;=" &amp; A3)</f>
        <v>1</v>
      </c>
    </row>
    <row r="4" spans="1:2" x14ac:dyDescent="0.2">
      <c r="A4" s="1">
        <f t="shared" si="0"/>
        <v>1995</v>
      </c>
      <c r="B4" s="1">
        <f>COUNTIFS(Data!$E$2:$E$28, "&lt;=" &amp; A4, Data!$G$2:$G$28, "&gt;=" &amp; A4)</f>
        <v>1</v>
      </c>
    </row>
    <row r="5" spans="1:2" x14ac:dyDescent="0.2">
      <c r="A5" s="1">
        <f t="shared" si="0"/>
        <v>1996</v>
      </c>
      <c r="B5" s="1">
        <f>COUNTIFS(Data!$E$2:$E$28, "&lt;=" &amp; A5, Data!$G$2:$G$28, "&gt;=" &amp; A5)</f>
        <v>1</v>
      </c>
    </row>
    <row r="6" spans="1:2" x14ac:dyDescent="0.2">
      <c r="A6" s="1">
        <f t="shared" si="0"/>
        <v>1997</v>
      </c>
      <c r="B6" s="1">
        <f>COUNTIFS(Data!$E$2:$E$28, "&lt;=" &amp; A6, Data!$G$2:$G$28, "&gt;=" &amp; A6)</f>
        <v>1</v>
      </c>
    </row>
    <row r="7" spans="1:2" x14ac:dyDescent="0.2">
      <c r="A7" s="1">
        <f t="shared" si="0"/>
        <v>1998</v>
      </c>
      <c r="B7" s="1">
        <f>COUNTIFS(Data!$E$2:$E$28, "&lt;=" &amp; A7, Data!$G$2:$G$28, "&gt;=" &amp; A7)</f>
        <v>2</v>
      </c>
    </row>
    <row r="8" spans="1:2" x14ac:dyDescent="0.2">
      <c r="A8" s="1">
        <f t="shared" si="0"/>
        <v>1999</v>
      </c>
      <c r="B8" s="1">
        <f>COUNTIFS(Data!$E$2:$E$28, "&lt;=" &amp; A8, Data!$G$2:$G$28, "&gt;=" &amp; A8)</f>
        <v>2</v>
      </c>
    </row>
    <row r="9" spans="1:2" x14ac:dyDescent="0.2">
      <c r="A9" s="1">
        <f t="shared" si="0"/>
        <v>2000</v>
      </c>
      <c r="B9" s="1">
        <f>COUNTIFS(Data!$E$2:$E$28, "&lt;=" &amp; A9, Data!$G$2:$G$28, "&gt;=" &amp; A9)</f>
        <v>2</v>
      </c>
    </row>
    <row r="10" spans="1:2" x14ac:dyDescent="0.2">
      <c r="A10" s="1">
        <f t="shared" si="0"/>
        <v>2001</v>
      </c>
      <c r="B10" s="1">
        <f>COUNTIFS(Data!$E$2:$E$28, "&lt;=" &amp; A10, Data!$G$2:$G$28, "&gt;=" &amp; A10)</f>
        <v>2</v>
      </c>
    </row>
    <row r="11" spans="1:2" x14ac:dyDescent="0.2">
      <c r="A11" s="1">
        <f t="shared" si="0"/>
        <v>2002</v>
      </c>
      <c r="B11" s="1">
        <f>COUNTIFS(Data!$E$2:$E$28, "&lt;=" &amp; A11, Data!$G$2:$G$28, "&gt;=" &amp; A11)</f>
        <v>3</v>
      </c>
    </row>
    <row r="12" spans="1:2" x14ac:dyDescent="0.2">
      <c r="A12" s="1">
        <f t="shared" si="0"/>
        <v>2003</v>
      </c>
      <c r="B12" s="1">
        <f>COUNTIFS(Data!$E$2:$E$28, "&lt;=" &amp; A12, Data!$G$2:$G$28, "&gt;=" &amp; A12)</f>
        <v>5</v>
      </c>
    </row>
    <row r="13" spans="1:2" x14ac:dyDescent="0.2">
      <c r="A13" s="1">
        <f t="shared" si="0"/>
        <v>2004</v>
      </c>
      <c r="B13" s="1">
        <f>COUNTIFS(Data!$E$2:$E$28, "&lt;=" &amp; A13, Data!$G$2:$G$28, "&gt;=" &amp; A13)</f>
        <v>7</v>
      </c>
    </row>
    <row r="14" spans="1:2" x14ac:dyDescent="0.2">
      <c r="A14" s="1">
        <f t="shared" si="0"/>
        <v>2005</v>
      </c>
      <c r="B14" s="1">
        <f>COUNTIFS(Data!$E$2:$E$28, "&lt;=" &amp; A14, Data!$G$2:$G$28, "&gt;=" &amp; A14)</f>
        <v>9</v>
      </c>
    </row>
    <row r="15" spans="1:2" x14ac:dyDescent="0.2">
      <c r="A15" s="1">
        <f t="shared" si="0"/>
        <v>2006</v>
      </c>
      <c r="B15" s="1">
        <f>COUNTIFS(Data!$E$2:$E$28, "&lt;=" &amp; A15, Data!$G$2:$G$28, "&gt;=" &amp; A15)</f>
        <v>15</v>
      </c>
    </row>
    <row r="16" spans="1:2" x14ac:dyDescent="0.2">
      <c r="A16" s="1">
        <f t="shared" si="0"/>
        <v>2007</v>
      </c>
      <c r="B16" s="1">
        <f>COUNTIFS(Data!$E$2:$E$28, "&lt;=" &amp; A16, Data!$G$2:$G$28, "&gt;=" &amp; A16)</f>
        <v>16</v>
      </c>
    </row>
    <row r="17" spans="1:2" x14ac:dyDescent="0.2">
      <c r="A17" s="1">
        <f t="shared" si="0"/>
        <v>2008</v>
      </c>
      <c r="B17" s="1">
        <f>COUNTIFS(Data!$E$2:$E$28, "&lt;=" &amp; A17, Data!$G$2:$G$28, "&gt;=" &amp; A17)</f>
        <v>17</v>
      </c>
    </row>
    <row r="18" spans="1:2" x14ac:dyDescent="0.2">
      <c r="A18" s="1">
        <f t="shared" si="0"/>
        <v>2009</v>
      </c>
      <c r="B18" s="1">
        <f>COUNTIFS(Data!$E$2:$E$28, "&lt;=" &amp; A18, Data!$G$2:$G$28, "&gt;=" &amp; A18)</f>
        <v>16</v>
      </c>
    </row>
    <row r="19" spans="1:2" x14ac:dyDescent="0.2">
      <c r="A19" s="1">
        <f t="shared" si="0"/>
        <v>2010</v>
      </c>
      <c r="B19" s="1">
        <f>COUNTIFS(Data!$E$2:$E$28, "&lt;=" &amp; A19, Data!$G$2:$G$28, "&gt;=" &amp; A19)</f>
        <v>19</v>
      </c>
    </row>
    <row r="20" spans="1:2" x14ac:dyDescent="0.2">
      <c r="A20" s="1">
        <f t="shared" si="0"/>
        <v>2011</v>
      </c>
      <c r="B20" s="1">
        <f>COUNTIFS(Data!$E$2:$E$28, "&lt;=" &amp; A20, Data!$G$2:$G$28, "&gt;=" &amp; A20)</f>
        <v>20</v>
      </c>
    </row>
    <row r="21" spans="1:2" x14ac:dyDescent="0.2">
      <c r="A21" s="1">
        <f t="shared" si="0"/>
        <v>2012</v>
      </c>
      <c r="B21" s="1">
        <f>COUNTIFS(Data!$E$2:$E$28, "&lt;=" &amp; A21, Data!$G$2:$G$28, "&gt;=" &amp; A21)</f>
        <v>18</v>
      </c>
    </row>
    <row r="22" spans="1:2" x14ac:dyDescent="0.2">
      <c r="A22" s="1">
        <f t="shared" si="0"/>
        <v>2013</v>
      </c>
      <c r="B22" s="1">
        <f>COUNTIFS(Data!$E$2:$E$28, "&lt;=" &amp; A22, Data!$G$2:$G$28, "&gt;=" &amp; A22)</f>
        <v>18</v>
      </c>
    </row>
    <row r="23" spans="1:2" x14ac:dyDescent="0.2">
      <c r="A23" s="1">
        <f t="shared" si="0"/>
        <v>2014</v>
      </c>
      <c r="B23" s="1">
        <f>COUNTIFS(Data!$E$2:$E$28, "&lt;=" &amp; A23, Data!$G$2:$G$28, "&gt;=" &amp; A23)</f>
        <v>17</v>
      </c>
    </row>
    <row r="24" spans="1:2" x14ac:dyDescent="0.2">
      <c r="A24" s="1">
        <f t="shared" si="0"/>
        <v>2015</v>
      </c>
      <c r="B24" s="1">
        <f>COUNTIFS(Data!$E$2:$E$28, "&lt;=" &amp; A24, Data!$G$2:$G$28, "&gt;=" &amp; A24)</f>
        <v>17</v>
      </c>
    </row>
    <row r="25" spans="1:2" x14ac:dyDescent="0.2">
      <c r="A25" s="1">
        <f t="shared" si="0"/>
        <v>2016</v>
      </c>
      <c r="B25" s="1">
        <f>COUNTIFS(Data!$E$2:$E$28, "&lt;=" &amp; A25, Data!$G$2:$G$28, "&gt;=" &amp; A25)</f>
        <v>17</v>
      </c>
    </row>
    <row r="26" spans="1:2" x14ac:dyDescent="0.2">
      <c r="A26" s="1">
        <f t="shared" si="0"/>
        <v>2017</v>
      </c>
      <c r="B26" s="1">
        <f>COUNTIFS(Data!$E$2:$E$28, "&lt;=" &amp; A26, Data!$G$2:$G$28, "&gt;=" &amp; A26)</f>
        <v>16</v>
      </c>
    </row>
    <row r="27" spans="1:2" x14ac:dyDescent="0.2">
      <c r="A27" s="1">
        <f t="shared" si="0"/>
        <v>2018</v>
      </c>
      <c r="B27" s="1">
        <f>COUNTIFS(Data!$E$2:$E$28, "&lt;=" &amp; A27, Data!$G$2:$G$28, "&gt;=" &amp; A27)</f>
        <v>15</v>
      </c>
    </row>
    <row r="28" spans="1:2" x14ac:dyDescent="0.2">
      <c r="A28" s="1">
        <f t="shared" si="0"/>
        <v>2019</v>
      </c>
      <c r="B28" s="1">
        <f>COUNTIFS(Data!$E$2:$E$28, "&lt;=" &amp; A28, Data!$G$2:$G$28, "&gt;=" &amp; A28)</f>
        <v>15</v>
      </c>
    </row>
    <row r="29" spans="1:2" x14ac:dyDescent="0.2">
      <c r="A29" s="1">
        <f t="shared" si="0"/>
        <v>2020</v>
      </c>
      <c r="B29" s="1">
        <f>COUNTIFS(Data!$E$2:$E$28, "&lt;=" &amp; A29, Data!$G$2:$G$28, "&gt;=" &amp; A29)</f>
        <v>13</v>
      </c>
    </row>
    <row r="30" spans="1:2" x14ac:dyDescent="0.2">
      <c r="A30" s="1">
        <f t="shared" si="0"/>
        <v>2021</v>
      </c>
      <c r="B30" s="1">
        <f>COUNTIFS(Data!$E$2:$E$28, "&lt;=" &amp; A30, Data!$G$2:$G$28, "&gt;=" &amp; A30)</f>
        <v>13</v>
      </c>
    </row>
    <row r="31" spans="1:2" x14ac:dyDescent="0.2">
      <c r="A31" s="1">
        <f t="shared" si="0"/>
        <v>2022</v>
      </c>
      <c r="B31" s="1">
        <f>COUNTIFS(Data!$E$2:$E$28, "&lt;=" &amp; A31, Data!$G$2:$G$28, "&gt;=" &amp; A31)</f>
        <v>11</v>
      </c>
    </row>
    <row r="32" spans="1:2" x14ac:dyDescent="0.2">
      <c r="A32" s="1">
        <f t="shared" si="0"/>
        <v>2023</v>
      </c>
      <c r="B32" s="1">
        <f>COUNTIFS(Data!$E$2:$E$28, "&lt;=" &amp; A32, Data!$G$2:$G$28, "&gt;=" &amp; A32)</f>
        <v>10</v>
      </c>
    </row>
    <row r="33" spans="1:2" x14ac:dyDescent="0.2">
      <c r="A33" s="1">
        <f t="shared" si="0"/>
        <v>2024</v>
      </c>
      <c r="B33" s="1">
        <f>COUNTIFS(Data!$E$2:$E$28, "&lt;=" &amp; A33, Data!$G$2:$G$28, "&gt;=" &amp; A33)</f>
        <v>9</v>
      </c>
    </row>
    <row r="34" spans="1:2" x14ac:dyDescent="0.2">
      <c r="A34" s="1">
        <f t="shared" si="0"/>
        <v>2025</v>
      </c>
      <c r="B34" s="1">
        <f>COUNTIFS(Data!$E$2:$E$28, "&lt;=" &amp; A34, Data!$G$2:$G$28, "&gt;=" &amp; A34)</f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from_atom3.py_import_atom3 from_atom3.py_import_atom3</dc:creator>
  <cp:lastModifiedBy>from_atom3.py_import_atom3 from_atom3.py_import_atom3</cp:lastModifiedBy>
  <dcterms:created xsi:type="dcterms:W3CDTF">2025-10-27T16:17:16Z</dcterms:created>
  <dcterms:modified xsi:type="dcterms:W3CDTF">2025-11-26T16:32:43Z</dcterms:modified>
</cp:coreProperties>
</file>